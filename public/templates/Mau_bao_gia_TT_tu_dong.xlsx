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6A420357-2E3E-4B8D-9614-2E70C87A22F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BÁO GIÁ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7" i="1" l="1"/>
  <c r="G16" i="1"/>
  <c r="G15" i="1"/>
  <c r="G14" i="1"/>
  <c r="G18" i="1" l="1"/>
  <c r="G19" i="1" s="1"/>
</calcChain>
</file>

<file path=xl/sharedStrings.xml><?xml version="1.0" encoding="utf-8"?>
<sst xmlns="http://schemas.openxmlformats.org/spreadsheetml/2006/main" count="44" uniqueCount="42">
  <si>
    <t>T&amp;T
MÁY BƠM CÔNG NGHIỆP</t>
  </si>
  <si>
    <t>CÔNG TY TNHH TM MÁY CÔNG NGHIỆP T&amp;T</t>
  </si>
  <si>
    <t>Địa chỉ: Số 3 ngõ 61 đường Chùa Võ, TDP Thống Nhất, P. Dương Nội, TP Hà Nội</t>
  </si>
  <si>
    <t>MST: 0106888466</t>
  </si>
  <si>
    <t>STK: 8600888688888 – MB Tây Hà Nội</t>
  </si>
  <si>
    <t>BÁO GIÁ</t>
  </si>
  <si>
    <t>Số: ……/2026/BG-T&amp;T</t>
  </si>
  <si>
    <t>THÔNG TIN KHÁCH HÀNG</t>
  </si>
  <si>
    <t>Khách hàng:</t>
  </si>
  <si>
    <t>Địa chỉ:</t>
  </si>
  <si>
    <t>MST:</t>
  </si>
  <si>
    <t>Liên hệ:</t>
  </si>
  <si>
    <t>Điện thoại:</t>
  </si>
  <si>
    <t>STT</t>
  </si>
  <si>
    <t>TÊN HÀNG HÓA / MODEL</t>
  </si>
  <si>
    <t>THÔNG SỐ KỸ THUẬT</t>
  </si>
  <si>
    <t>ĐVT</t>
  </si>
  <si>
    <t>SL</t>
  </si>
  <si>
    <t>ĐƠN GIÁ
(VNĐ)</t>
  </si>
  <si>
    <t>THÀNH TIỀN
(VNĐ)</t>
  </si>
  <si>
    <t>Cái</t>
  </si>
  <si>
    <t>Cộng tiền hàng</t>
  </si>
  <si>
    <t>Thuế GTGT</t>
  </si>
  <si>
    <t>TỔNG THANH TOÁN</t>
  </si>
  <si>
    <t>Bằng chữ:</t>
  </si>
  <si>
    <t>ĐIỀU KIỆN THƯƠNG MẠI</t>
  </si>
  <si>
    <t>Chất lượng / Bảo hành</t>
  </si>
  <si>
    <t>Hàng mới 100%, chính hãng; bảo hành 12 tháng.</t>
  </si>
  <si>
    <t>Giá / Hiệu lực</t>
  </si>
  <si>
    <t>Đơn giá chưa gồm VAT; báo giá có hiệu lực 07 ngày.</t>
  </si>
  <si>
    <t>Giao hàng</t>
  </si>
  <si>
    <t>Thanh toán</t>
  </si>
  <si>
    <t>Chuyển khoản</t>
  </si>
  <si>
    <t>STK 8600888688888 – Ngân hàng TMCP Quân đội (MB), CN Tây Hà Nội.</t>
  </si>
  <si>
    <t>XÁC NHẬN KHÁCH HÀNG</t>
  </si>
  <si>
    <t>ĐẠI DIỆN BÊN BÁN</t>
  </si>
  <si>
    <t>(Ký, ghi rõ họ tên)</t>
  </si>
  <si>
    <t>GIÁM ĐỐC</t>
  </si>
  <si>
    <t>NGUYỄN THỊ TUYẾT</t>
  </si>
  <si>
    <t>Thanh toán 100% trước khi giao hàng.</t>
  </si>
  <si>
    <t>Trong 1 đến 4 ngày từ khi xác nhận đơn; địa điểm theo yêu cầu.</t>
  </si>
  <si>
    <t>Model: máy bơm nước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</si>
</sst>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Hà Nội, ngày &quot;dd&quot; tháng &quot;mm&quot; năm &quot;yyyy"/>
    <numFmt numFmtId="165" formatCode="#,##0;\-#,##0;;"/>
  </numFmts>
  <fonts count="12">
    <font>
      <sz val="11"/>
      <name val="Carlito"/>
    </font>
    <font>
      <sz val="10"/>
      <color rgb="FF1F2933"/>
      <name val="Aptos"/>
    </font>
    <font>
      <b/>
      <sz val="16"/>
      <color rgb="FFFFFFFF"/>
      <name val="Aptos Display"/>
    </font>
    <font>
      <b/>
      <sz val="13"/>
      <color rgb="FF17365D"/>
      <name val="Aptos Display"/>
    </font>
    <font>
      <sz val="9"/>
      <color rgb="FF1F2933"/>
      <name val="Aptos"/>
    </font>
    <font>
      <b/>
      <sz val="20"/>
      <color rgb="FF17365D"/>
      <name val="Aptos Display"/>
    </font>
    <font>
      <i/>
      <sz val="9"/>
      <color rgb="FF4B5563"/>
      <name val="Aptos"/>
    </font>
    <font>
      <b/>
      <sz val="10"/>
      <color rgb="FFFFFFFF"/>
      <name val="Aptos"/>
    </font>
    <font>
      <b/>
      <sz val="10"/>
      <color rgb="FF17365D"/>
      <name val="Aptos"/>
    </font>
    <font>
      <b/>
      <sz val="11"/>
      <color rgb="FF17365D"/>
      <name val="Aptos"/>
    </font>
    <font>
      <i/>
      <sz val="10"/>
      <color rgb="FF374151"/>
      <name val="Aptos"/>
    </font>
    <font>
      <i/>
      <sz val="9"/>
      <color rgb="FF6B7280"/>
      <name val="Aptos"/>
    </font>
  </fonts>
  <fills count="8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EAF3F8"/>
      </patternFill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F3F6F8"/>
      </patternFill>
    </fill>
    <fill>
      <patternFill patternType="solid">
        <fgColor rgb="FFD9EAF7"/>
      </patternFill>
    </fill>
  </fills>
  <borders count="14">
    <border>
      <left/>
      <right/>
      <top/>
      <bottom/>
      <diagonal/>
    </border>
    <border>
      <left style="medium">
        <color rgb="FF17365D"/>
      </left>
      <right/>
      <top style="medium">
        <color rgb="FF17365D"/>
      </top>
      <bottom/>
      <diagonal/>
    </border>
    <border>
      <left/>
      <right style="medium">
        <color rgb="FF17365D"/>
      </right>
      <top style="medium">
        <color rgb="FF17365D"/>
      </top>
      <bottom/>
      <diagonal/>
    </border>
    <border>
      <left style="medium">
        <color rgb="FF17365D"/>
      </left>
      <right/>
      <top/>
      <bottom/>
      <diagonal/>
    </border>
    <border>
      <left/>
      <right style="medium">
        <color rgb="FF17365D"/>
      </right>
      <top/>
      <bottom/>
      <diagonal/>
    </border>
    <border>
      <left style="medium">
        <color rgb="FF17365D"/>
      </left>
      <right/>
      <top/>
      <bottom style="medium">
        <color rgb="FF17365D"/>
      </bottom>
      <diagonal/>
    </border>
    <border>
      <left/>
      <right style="medium">
        <color rgb="FF17365D"/>
      </right>
      <top/>
      <bottom style="medium">
        <color rgb="FF17365D"/>
      </bottom>
      <diagonal/>
    </border>
    <border>
      <left style="thin">
        <color rgb="FFAEBBC6"/>
      </left>
      <right/>
      <top style="thin">
        <color rgb="FFAEBBC6"/>
      </top>
      <bottom style="thin">
        <color rgb="FFAEBBC6"/>
      </bottom>
      <diagonal/>
    </border>
    <border>
      <left/>
      <right/>
      <top style="thin">
        <color rgb="FFAEBBC6"/>
      </top>
      <bottom style="thin">
        <color rgb="FFAEBBC6"/>
      </bottom>
      <diagonal/>
    </border>
    <border>
      <left/>
      <right style="thin">
        <color rgb="FFAEBBC6"/>
      </right>
      <top style="thin">
        <color rgb="FFAEBBC6"/>
      </top>
      <bottom style="thin">
        <color rgb="FFAEBBC6"/>
      </bottom>
      <diagonal/>
    </border>
    <border>
      <left style="thin">
        <color rgb="FFAEBBC6"/>
      </left>
      <right style="thin">
        <color rgb="FFAEBBC6"/>
      </right>
      <top style="thin">
        <color rgb="FFAEBBC6"/>
      </top>
      <bottom style="thin">
        <color rgb="FFAEBBC6"/>
      </bottom>
      <diagonal/>
    </border>
    <border>
      <left/>
      <right/>
      <top/>
      <bottom style="medium">
        <color rgb="FFD9A441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1F4E78"/>
      </left>
      <right style="medium">
        <color rgb="FF1F4E78"/>
      </right>
      <top style="medium">
        <color rgb="FF1F4E78"/>
      </top>
      <bottom style="medium">
        <color rgb="FF1F4E78"/>
      </bottom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vertical="center"/>
    </xf>
    <xf numFmtId="0" fontId="8" fillId="6" borderId="10" xfId="0" applyFont="1" applyFill="1" applyBorder="1" applyAlignment="1">
      <alignment vertical="center"/>
    </xf>
    <xf numFmtId="0" fontId="7" fillId="4" borderId="12" xfId="0" applyFont="1" applyFill="1" applyBorder="1" applyAlignment="1">
      <alignment horizontal="center" vertical="center" wrapText="1"/>
    </xf>
    <xf numFmtId="0" fontId="1" fillId="6" borderId="10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vertical="center" wrapText="1"/>
    </xf>
    <xf numFmtId="0" fontId="1" fillId="5" borderId="10" xfId="0" applyFont="1" applyFill="1" applyBorder="1" applyAlignment="1">
      <alignment horizontal="center" vertical="center" wrapText="1"/>
    </xf>
    <xf numFmtId="3" fontId="1" fillId="5" borderId="10" xfId="0" applyNumberFormat="1" applyFont="1" applyFill="1" applyBorder="1" applyAlignment="1">
      <alignment horizontal="right" vertical="center" wrapText="1"/>
    </xf>
    <xf numFmtId="3" fontId="1" fillId="3" borderId="10" xfId="0" applyNumberFormat="1" applyFont="1" applyFill="1" applyBorder="1" applyAlignment="1">
      <alignment horizontal="right" vertical="center" wrapText="1"/>
    </xf>
    <xf numFmtId="9" fontId="8" fillId="5" borderId="10" xfId="0" applyNumberFormat="1" applyFont="1" applyFill="1" applyBorder="1" applyAlignment="1">
      <alignment horizontal="center" vertical="center"/>
    </xf>
    <xf numFmtId="165" fontId="8" fillId="0" borderId="10" xfId="0" applyNumberFormat="1" applyFont="1" applyBorder="1" applyAlignment="1">
      <alignment horizontal="right" vertical="center"/>
    </xf>
    <xf numFmtId="165" fontId="9" fillId="7" borderId="13" xfId="0" applyNumberFormat="1" applyFont="1" applyFill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2" borderId="5" xfId="0" applyFont="1" applyFill="1" applyBorder="1" applyAlignment="1">
      <alignment horizontal="center"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left" vertical="center"/>
    </xf>
    <xf numFmtId="0" fontId="3" fillId="3" borderId="8" xfId="0" applyFont="1" applyFill="1" applyBorder="1" applyAlignment="1">
      <alignment horizontal="left" vertical="center"/>
    </xf>
    <xf numFmtId="0" fontId="3" fillId="3" borderId="9" xfId="0" applyFont="1" applyFill="1" applyBorder="1" applyAlignment="1">
      <alignment horizontal="left" vertical="center"/>
    </xf>
    <xf numFmtId="0" fontId="4" fillId="0" borderId="10" xfId="0" applyFont="1" applyBorder="1" applyAlignment="1">
      <alignment vertical="center" wrapText="1"/>
    </xf>
    <xf numFmtId="0" fontId="5" fillId="0" borderId="1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164" fontId="6" fillId="0" borderId="0" xfId="0" applyNumberFormat="1" applyFont="1" applyAlignment="1">
      <alignment horizontal="center" vertical="center"/>
    </xf>
    <xf numFmtId="0" fontId="7" fillId="4" borderId="0" xfId="0" applyFont="1" applyFill="1" applyAlignment="1">
      <alignment vertical="center"/>
    </xf>
    <xf numFmtId="0" fontId="1" fillId="5" borderId="10" xfId="0" applyFont="1" applyFill="1" applyBorder="1" applyAlignment="1">
      <alignment vertical="center"/>
    </xf>
    <xf numFmtId="0" fontId="8" fillId="0" borderId="10" xfId="0" applyFont="1" applyBorder="1" applyAlignment="1">
      <alignment vertical="center"/>
    </xf>
    <xf numFmtId="0" fontId="9" fillId="7" borderId="13" xfId="0" applyFont="1" applyFill="1" applyBorder="1" applyAlignment="1">
      <alignment vertical="center"/>
    </xf>
    <xf numFmtId="0" fontId="10" fillId="6" borderId="7" xfId="0" applyFont="1" applyFill="1" applyBorder="1" applyAlignment="1">
      <alignment vertical="center"/>
    </xf>
    <xf numFmtId="0" fontId="10" fillId="6" borderId="8" xfId="0" applyFont="1" applyFill="1" applyBorder="1" applyAlignment="1">
      <alignment vertical="center"/>
    </xf>
    <xf numFmtId="0" fontId="10" fillId="6" borderId="9" xfId="0" applyFont="1" applyFill="1" applyBorder="1" applyAlignment="1">
      <alignment vertical="center"/>
    </xf>
    <xf numFmtId="0" fontId="8" fillId="6" borderId="10" xfId="0" applyFont="1" applyFill="1" applyBorder="1" applyAlignment="1">
      <alignment vertical="center" wrapText="1"/>
    </xf>
    <xf numFmtId="0" fontId="1" fillId="0" borderId="10" xfId="0" applyFont="1" applyBorder="1" applyAlignment="1">
      <alignment vertical="center" wrapText="1"/>
    </xf>
    <xf numFmtId="0" fontId="8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showGridLines="0" tabSelected="1" topLeftCell="A9" workbookViewId="0">
      <selection activeCell="C15" sqref="C15"/>
    </sheetView>
  </sheetViews>
  <sheetFormatPr defaultRowHeight="13.8"/>
  <cols>
    <col min="1" max="1" width="11" customWidth="1"/>
    <col min="2" max="2" width="22" customWidth="1"/>
    <col min="3" max="3" width="27" customWidth="1"/>
    <col min="4" max="5" width="9" customWidth="1"/>
    <col min="6" max="6" width="16" customWidth="1"/>
    <col min="7" max="7" width="18" customWidth="1"/>
  </cols>
  <sheetData>
    <row r="1" spans="1:7" ht="22.95" customHeight="1">
      <c r="A1" s="14" t="s">
        <v>0</v>
      </c>
      <c r="B1" s="15"/>
      <c r="C1" s="20" t="s">
        <v>1</v>
      </c>
      <c r="D1" s="21"/>
      <c r="E1" s="21"/>
      <c r="F1" s="21"/>
      <c r="G1" s="22"/>
    </row>
    <row r="2" spans="1:7" ht="22.95" customHeight="1">
      <c r="A2" s="16"/>
      <c r="B2" s="17"/>
      <c r="C2" s="23" t="s">
        <v>2</v>
      </c>
      <c r="D2" s="23"/>
      <c r="E2" s="23"/>
      <c r="F2" s="23"/>
      <c r="G2" s="23"/>
    </row>
    <row r="3" spans="1:7" ht="22.95" customHeight="1">
      <c r="A3" s="18"/>
      <c r="B3" s="19"/>
      <c r="C3" s="23" t="s">
        <v>3</v>
      </c>
      <c r="D3" s="23"/>
      <c r="E3" s="23" t="s">
        <v>4</v>
      </c>
      <c r="F3" s="23"/>
      <c r="G3" s="23"/>
    </row>
    <row r="4" spans="1:7">
      <c r="A4" s="1"/>
      <c r="B4" s="1"/>
      <c r="C4" s="1"/>
      <c r="D4" s="1"/>
      <c r="E4" s="1"/>
      <c r="F4" s="1"/>
      <c r="G4" s="1"/>
    </row>
    <row r="5" spans="1:7" ht="30" customHeight="1">
      <c r="A5" s="24" t="s">
        <v>5</v>
      </c>
      <c r="B5" s="24"/>
      <c r="C5" s="24"/>
      <c r="D5" s="24"/>
      <c r="E5" s="24"/>
      <c r="F5" s="24"/>
      <c r="G5" s="24"/>
    </row>
    <row r="6" spans="1:7">
      <c r="A6" s="25" t="s">
        <v>6</v>
      </c>
      <c r="B6" s="25"/>
      <c r="C6" s="25"/>
      <c r="D6" s="26">
        <v>46270</v>
      </c>
      <c r="E6" s="26"/>
      <c r="F6" s="26"/>
      <c r="G6" s="26"/>
    </row>
    <row r="7" spans="1:7">
      <c r="A7" s="1"/>
      <c r="B7" s="1"/>
      <c r="C7" s="1"/>
      <c r="D7" s="1"/>
      <c r="E7" s="1"/>
      <c r="F7" s="1"/>
      <c r="G7" s="1"/>
    </row>
    <row r="8" spans="1:7">
      <c r="A8" s="27" t="s">
        <v>7</v>
      </c>
      <c r="B8" s="27"/>
      <c r="C8" s="27"/>
      <c r="D8" s="27"/>
      <c r="E8" s="27"/>
      <c r="F8" s="27"/>
      <c r="G8" s="27"/>
    </row>
    <row r="9" spans="1:7" ht="22.95" customHeight="1">
      <c r="A9" s="2" t="s">
        <v>8</v>
      </c>
      <c r="B9" s="28"/>
      <c r="C9" s="28"/>
      <c r="D9" s="28"/>
      <c r="E9" s="28"/>
      <c r="F9" s="28"/>
      <c r="G9" s="28"/>
    </row>
    <row r="10" spans="1:7" ht="22.95" customHeight="1">
      <c r="A10" s="2" t="s">
        <v>9</v>
      </c>
      <c r="B10" s="28"/>
      <c r="C10" s="28"/>
      <c r="D10" s="28"/>
      <c r="E10" s="2" t="s">
        <v>10</v>
      </c>
      <c r="F10" s="28"/>
      <c r="G10" s="28"/>
    </row>
    <row r="11" spans="1:7" ht="22.95" customHeight="1">
      <c r="A11" s="2" t="s">
        <v>11</v>
      </c>
      <c r="B11" s="28"/>
      <c r="C11" s="28"/>
      <c r="D11" s="28"/>
      <c r="E11" s="2" t="s">
        <v>12</v>
      </c>
      <c r="F11" s="28"/>
      <c r="G11" s="28"/>
    </row>
    <row r="12" spans="1:7">
      <c r="A12" s="1"/>
      <c r="B12" s="1"/>
      <c r="C12" s="1"/>
      <c r="D12" s="1"/>
      <c r="E12" s="1"/>
      <c r="F12" s="1"/>
      <c r="G12" s="1"/>
    </row>
    <row r="13" spans="1:7" ht="30" customHeight="1">
      <c r="A13" s="3" t="s">
        <v>13</v>
      </c>
      <c r="B13" s="3" t="s">
        <v>14</v>
      </c>
      <c r="C13" s="3" t="s">
        <v>15</v>
      </c>
      <c r="D13" s="3" t="s">
        <v>16</v>
      </c>
      <c r="E13" s="3" t="s">
        <v>17</v>
      </c>
      <c r="F13" s="3" t="s">
        <v>18</v>
      </c>
      <c r="G13" s="3" t="s">
        <v>19</v>
      </c>
    </row>
    <row r="14" spans="1:7" ht="27" customHeight="1">
      <c r="A14" s="4">
        <v>1</v>
      </c>
      <c r="B14" s="5" t="s">
        <v>41</v>
      </c>
      <c r="C14" s="5"/>
      <c r="D14" s="6" t="s">
        <v>20</v>
      </c>
      <c r="E14" s="6">
        <v>1</v>
      </c>
      <c r="F14" s="7">
        <v>5500000</v>
      </c>
      <c r="G14" s="8">
        <f t="shared" ref="G14:G16" si="0">IF(OR(E14="",F14=""),"",E14*F14)</f>
        <v>5500000</v>
      </c>
    </row>
    <row r="15" spans="1:7" ht="27" customHeight="1">
      <c r="A15" s="4">
        <v>2</v>
      </c>
      <c r="B15" s="5"/>
      <c r="C15" s="5"/>
      <c r="D15" s="6" t="s">
        <v>20</v>
      </c>
      <c r="E15" s="6"/>
      <c r="F15" s="7"/>
      <c r="G15" s="8" t="str">
        <f t="shared" si="0"/>
        <v/>
      </c>
    </row>
    <row r="16" spans="1:7" ht="27" customHeight="1">
      <c r="A16" s="4">
        <v>3</v>
      </c>
      <c r="B16" s="5"/>
      <c r="C16" s="5"/>
      <c r="D16" s="6" t="s">
        <v>20</v>
      </c>
      <c r="E16" s="6"/>
      <c r="F16" s="7"/>
      <c r="G16" s="8" t="str">
        <f t="shared" si="0"/>
        <v/>
      </c>
    </row>
    <row r="17" spans="1:7">
      <c r="A17" s="1"/>
      <c r="B17" s="1"/>
      <c r="C17" s="1"/>
      <c r="D17" s="29" t="s">
        <v>21</v>
      </c>
      <c r="E17" s="29"/>
      <c r="F17" s="29"/>
      <c r="G17" s="10">
        <f>IF(COUNTA(B14:B16)=0,"",SUM(G14:G16))</f>
        <v>5500000</v>
      </c>
    </row>
    <row r="18" spans="1:7">
      <c r="A18" s="1"/>
      <c r="B18" s="1"/>
      <c r="C18" s="1"/>
      <c r="D18" s="29" t="s">
        <v>22</v>
      </c>
      <c r="E18" s="29"/>
      <c r="F18" s="9">
        <v>0.08</v>
      </c>
      <c r="G18" s="10">
        <f>IF(G17="","",G17*F18)</f>
        <v>440000</v>
      </c>
    </row>
    <row r="19" spans="1:7" ht="14.4">
      <c r="A19" s="1"/>
      <c r="B19" s="1"/>
      <c r="C19" s="1"/>
      <c r="D19" s="30" t="s">
        <v>23</v>
      </c>
      <c r="E19" s="30"/>
      <c r="F19" s="30"/>
      <c r="G19" s="11">
        <f>IF(G17="","",G17+G18)</f>
        <v>5940000</v>
      </c>
    </row>
    <row r="20" spans="1:7">
      <c r="A20" s="31" t="s">
        <v>24</v>
      </c>
      <c r="B20" s="32"/>
      <c r="C20" s="32"/>
      <c r="D20" s="32"/>
      <c r="E20" s="32"/>
      <c r="F20" s="32"/>
      <c r="G20" s="33"/>
    </row>
    <row r="21" spans="1:7">
      <c r="A21" s="1"/>
      <c r="B21" s="1"/>
      <c r="C21" s="1"/>
      <c r="D21" s="1"/>
      <c r="E21" s="1"/>
      <c r="F21" s="1"/>
      <c r="G21" s="1"/>
    </row>
    <row r="22" spans="1:7">
      <c r="A22" s="27" t="s">
        <v>25</v>
      </c>
      <c r="B22" s="27"/>
      <c r="C22" s="27"/>
      <c r="D22" s="27"/>
      <c r="E22" s="27"/>
      <c r="F22" s="27"/>
      <c r="G22" s="27"/>
    </row>
    <row r="23" spans="1:7" ht="22.95" customHeight="1">
      <c r="A23" s="34" t="s">
        <v>26</v>
      </c>
      <c r="B23" s="34"/>
      <c r="C23" s="35" t="s">
        <v>27</v>
      </c>
      <c r="D23" s="35"/>
      <c r="E23" s="35"/>
      <c r="F23" s="35"/>
      <c r="G23" s="35"/>
    </row>
    <row r="24" spans="1:7" ht="22.95" customHeight="1">
      <c r="A24" s="34" t="s">
        <v>28</v>
      </c>
      <c r="B24" s="34"/>
      <c r="C24" s="35" t="s">
        <v>29</v>
      </c>
      <c r="D24" s="35"/>
      <c r="E24" s="35"/>
      <c r="F24" s="35"/>
      <c r="G24" s="35"/>
    </row>
    <row r="25" spans="1:7" ht="22.95" customHeight="1">
      <c r="A25" s="34" t="s">
        <v>30</v>
      </c>
      <c r="B25" s="34"/>
      <c r="C25" s="35" t="s">
        <v>40</v>
      </c>
      <c r="D25" s="35"/>
      <c r="E25" s="35"/>
      <c r="F25" s="35"/>
      <c r="G25" s="35"/>
    </row>
    <row r="26" spans="1:7" ht="22.95" customHeight="1">
      <c r="A26" s="34" t="s">
        <v>31</v>
      </c>
      <c r="B26" s="34"/>
      <c r="C26" s="35" t="s">
        <v>39</v>
      </c>
      <c r="D26" s="35"/>
      <c r="E26" s="35"/>
      <c r="F26" s="35"/>
      <c r="G26" s="35"/>
    </row>
    <row r="27" spans="1:7" ht="22.95" customHeight="1">
      <c r="A27" s="34" t="s">
        <v>32</v>
      </c>
      <c r="B27" s="34"/>
      <c r="C27" s="35" t="s">
        <v>33</v>
      </c>
      <c r="D27" s="35"/>
      <c r="E27" s="35"/>
      <c r="F27" s="35"/>
      <c r="G27" s="35"/>
    </row>
    <row r="28" spans="1:7">
      <c r="A28" s="1"/>
      <c r="B28" s="1"/>
      <c r="C28" s="1"/>
      <c r="D28" s="1"/>
      <c r="E28" s="1"/>
      <c r="F28" s="1"/>
      <c r="G28" s="1"/>
    </row>
    <row r="29" spans="1:7">
      <c r="A29" s="36" t="s">
        <v>34</v>
      </c>
      <c r="B29" s="36"/>
      <c r="C29" s="36"/>
      <c r="D29" s="12"/>
      <c r="E29" s="36" t="s">
        <v>35</v>
      </c>
      <c r="F29" s="36"/>
      <c r="G29" s="36"/>
    </row>
    <row r="30" spans="1:7">
      <c r="A30" s="37" t="s">
        <v>36</v>
      </c>
      <c r="B30" s="37"/>
      <c r="C30" s="37"/>
      <c r="D30" s="13"/>
      <c r="E30" s="37" t="s">
        <v>37</v>
      </c>
      <c r="F30" s="37"/>
      <c r="G30" s="37"/>
    </row>
    <row r="31" spans="1:7" ht="19.95" customHeight="1">
      <c r="A31" s="1"/>
      <c r="B31" s="1"/>
      <c r="C31" s="1"/>
      <c r="D31" s="1"/>
      <c r="E31" s="1"/>
      <c r="F31" s="1"/>
      <c r="G31" s="1"/>
    </row>
    <row r="32" spans="1:7" ht="19.95" customHeight="1">
      <c r="A32" s="1"/>
      <c r="B32" s="1"/>
      <c r="C32" s="1"/>
      <c r="D32" s="1"/>
      <c r="E32" s="1"/>
      <c r="F32" s="1"/>
      <c r="G32" s="1"/>
    </row>
    <row r="33" spans="1:7">
      <c r="A33" s="1"/>
      <c r="B33" s="1"/>
      <c r="C33" s="1"/>
      <c r="D33" s="1"/>
      <c r="E33" s="36" t="s">
        <v>38</v>
      </c>
      <c r="F33" s="36"/>
      <c r="G33" s="36"/>
    </row>
  </sheetData>
  <mergeCells count="35">
    <mergeCell ref="A30:C30"/>
    <mergeCell ref="E30:G30"/>
    <mergeCell ref="E33:G33"/>
    <mergeCell ref="A26:B26"/>
    <mergeCell ref="C26:G26"/>
    <mergeCell ref="A27:B27"/>
    <mergeCell ref="C27:G27"/>
    <mergeCell ref="A29:C29"/>
    <mergeCell ref="E29:G29"/>
    <mergeCell ref="A23:B23"/>
    <mergeCell ref="C23:G23"/>
    <mergeCell ref="A24:B24"/>
    <mergeCell ref="C24:G24"/>
    <mergeCell ref="A25:B25"/>
    <mergeCell ref="C25:G25"/>
    <mergeCell ref="D18:E18"/>
    <mergeCell ref="D19:F19"/>
    <mergeCell ref="A20:B20"/>
    <mergeCell ref="C20:G20"/>
    <mergeCell ref="A22:G22"/>
    <mergeCell ref="B10:D10"/>
    <mergeCell ref="F10:G10"/>
    <mergeCell ref="B11:D11"/>
    <mergeCell ref="F11:G11"/>
    <mergeCell ref="D17:F17"/>
    <mergeCell ref="A5:G5"/>
    <mergeCell ref="A6:C6"/>
    <mergeCell ref="D6:G6"/>
    <mergeCell ref="A8:G8"/>
    <mergeCell ref="B9:G9"/>
    <mergeCell ref="A1:B3"/>
    <mergeCell ref="C1:G1"/>
    <mergeCell ref="C2:G2"/>
    <mergeCell ref="C3:D3"/>
    <mergeCell ref="E3:G3"/>
  </mergeCells>
  <dataValidations count="1">
    <dataValidation type="list" sqref="D14:D16" xr:uid="{00000000-0002-0000-0000-000000000000}">
      <formula1>"Cái,Bộ,Chiếc,Máy"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BÁO GIÁ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Dương Nguyễn Hữu</cp:lastModifiedBy>
  <dcterms:modified xsi:type="dcterms:W3CDTF">2026-09-05T06:59:18Z</dcterms:modified>
</cp:coreProperties>
</file>